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DO\Desktop\Abhi\AI\AI\Math\Hands-On\Notes\PureError_LackOfFitTest\"/>
    </mc:Choice>
  </mc:AlternateContent>
  <xr:revisionPtr revIDLastSave="0" documentId="13_ncr:1_{09329A5C-8B6F-451F-87F2-E0C5C0EF6B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22" i="1"/>
  <c r="E21" i="1"/>
  <c r="E20" i="1"/>
  <c r="E1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C17" i="1"/>
  <c r="C15" i="1"/>
  <c r="C12" i="1"/>
  <c r="C7" i="1"/>
  <c r="C5" i="1"/>
  <c r="C2" i="1"/>
</calcChain>
</file>

<file path=xl/sharedStrings.xml><?xml version="1.0" encoding="utf-8"?>
<sst xmlns="http://schemas.openxmlformats.org/spreadsheetml/2006/main" count="17" uniqueCount="17">
  <si>
    <t>x</t>
  </si>
  <si>
    <t>y</t>
  </si>
  <si>
    <t>Mean</t>
  </si>
  <si>
    <t>MenaDiff</t>
  </si>
  <si>
    <t>Squar</t>
  </si>
  <si>
    <t>SSPE</t>
  </si>
  <si>
    <t xml:space="preserve">  Source Of Var  DegOfFreedom(DF)  Sum Of Square(SS)  Mean Square(MS)          F      FSig         P</t>
  </si>
  <si>
    <t>0    Regression               1.0          237.47877       237.478770  14.241103  4.543077  0.001839</t>
  </si>
  <si>
    <t>1      Residual              15.0          250.13383        16.675589        ---       ---       ---</t>
  </si>
  <si>
    <t>2         Total              16.0          487.61260       254.154358        ---       ---       ---</t>
  </si>
  <si>
    <t>r-square:  0.48702344815829124 rSqr-adj 0.452825011368844 rSqr-Predict</t>
  </si>
  <si>
    <t>Pure Error DoF:  7 DoF of LOF 8.0</t>
  </si>
  <si>
    <t>SSLOF</t>
  </si>
  <si>
    <t>MSLOF</t>
  </si>
  <si>
    <t>MSPE</t>
  </si>
  <si>
    <t>F-STAT</t>
  </si>
  <si>
    <t>F_PVAL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</si>
</sst>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Fill="1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I21" sqref="I21"/>
    </sheetView>
  </sheetViews>
  <sheetFormatPr defaultRowHeight="14.4" x14ac:dyDescent="0.3"/>
  <cols>
    <col min="12" max="12" width="78.33203125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L1" s="8" t="s">
        <v>6</v>
      </c>
    </row>
    <row r="2" spans="1:12" x14ac:dyDescent="0.3">
      <c r="A2" s="1">
        <v>1</v>
      </c>
      <c r="B2" s="1">
        <v>10.84</v>
      </c>
      <c r="C2" s="1">
        <f>(B2+B3)/2</f>
        <v>10.07</v>
      </c>
      <c r="D2" s="1">
        <f>C2-B2</f>
        <v>-0.76999999999999957</v>
      </c>
      <c r="E2" s="1">
        <f>D2*D2</f>
        <v>0.59289999999999932</v>
      </c>
      <c r="L2" s="9" t="s">
        <v>7</v>
      </c>
    </row>
    <row r="3" spans="1:12" x14ac:dyDescent="0.3">
      <c r="A3" s="1">
        <v>1</v>
      </c>
      <c r="B3" s="1">
        <v>9.3000000000000007</v>
      </c>
      <c r="C3" s="1">
        <v>10.07</v>
      </c>
      <c r="D3" s="1">
        <f t="shared" ref="D3:D18" si="0">C3-B3</f>
        <v>0.76999999999999957</v>
      </c>
      <c r="E3" s="1">
        <f t="shared" ref="E3:E18" si="1">D3*D3</f>
        <v>0.59289999999999932</v>
      </c>
      <c r="L3" s="9" t="s">
        <v>8</v>
      </c>
    </row>
    <row r="4" spans="1:12" x14ac:dyDescent="0.3">
      <c r="A4" s="1">
        <v>2</v>
      </c>
      <c r="B4" s="1">
        <v>16.350000000000001</v>
      </c>
      <c r="C4" s="1">
        <v>16.350000000000001</v>
      </c>
      <c r="D4" s="1">
        <f t="shared" si="0"/>
        <v>0</v>
      </c>
      <c r="E4" s="1">
        <f t="shared" si="1"/>
        <v>0</v>
      </c>
      <c r="L4" s="9" t="s">
        <v>9</v>
      </c>
    </row>
    <row r="5" spans="1:12" ht="15" thickBot="1" x14ac:dyDescent="0.35">
      <c r="A5" s="1">
        <v>3.3</v>
      </c>
      <c r="B5" s="1">
        <v>22.88</v>
      </c>
      <c r="C5" s="1">
        <f>(B5+B6)/2</f>
        <v>23.615000000000002</v>
      </c>
      <c r="D5" s="1">
        <f t="shared" si="0"/>
        <v>0.73500000000000298</v>
      </c>
      <c r="E5" s="1">
        <f t="shared" si="1"/>
        <v>0.5402250000000044</v>
      </c>
      <c r="L5" s="10" t="s">
        <v>10</v>
      </c>
    </row>
    <row r="6" spans="1:12" ht="15" thickBot="1" x14ac:dyDescent="0.35">
      <c r="A6" s="1">
        <v>3.3</v>
      </c>
      <c r="B6" s="1">
        <v>24.35</v>
      </c>
      <c r="C6" s="1">
        <v>23.614999999999998</v>
      </c>
      <c r="D6" s="1">
        <f t="shared" si="0"/>
        <v>-0.73500000000000298</v>
      </c>
      <c r="E6" s="1">
        <f t="shared" si="1"/>
        <v>0.5402250000000044</v>
      </c>
      <c r="L6" s="11" t="s">
        <v>11</v>
      </c>
    </row>
    <row r="7" spans="1:12" x14ac:dyDescent="0.3">
      <c r="A7" s="1">
        <v>4</v>
      </c>
      <c r="B7" s="1">
        <v>24.56</v>
      </c>
      <c r="C7" s="1">
        <f>(B7+B8+B9)/3</f>
        <v>26.526666666666667</v>
      </c>
      <c r="D7" s="1">
        <f t="shared" si="0"/>
        <v>1.9666666666666686</v>
      </c>
      <c r="E7" s="1">
        <f t="shared" si="1"/>
        <v>3.8677777777777851</v>
      </c>
    </row>
    <row r="8" spans="1:12" x14ac:dyDescent="0.3">
      <c r="A8" s="1">
        <v>4</v>
      </c>
      <c r="B8" s="1">
        <v>25.86</v>
      </c>
      <c r="C8" s="1">
        <v>26.526666666666667</v>
      </c>
      <c r="D8" s="1">
        <f t="shared" si="0"/>
        <v>0.66666666666666785</v>
      </c>
      <c r="E8" s="1">
        <f t="shared" si="1"/>
        <v>0.44444444444444603</v>
      </c>
    </row>
    <row r="9" spans="1:12" x14ac:dyDescent="0.3">
      <c r="A9" s="1">
        <v>4</v>
      </c>
      <c r="B9" s="1">
        <v>29.16</v>
      </c>
      <c r="C9" s="1">
        <v>26.526666666666667</v>
      </c>
      <c r="D9" s="1">
        <f t="shared" si="0"/>
        <v>-2.6333333333333329</v>
      </c>
      <c r="E9" s="1">
        <f t="shared" si="1"/>
        <v>6.9344444444444422</v>
      </c>
    </row>
    <row r="10" spans="1:12" x14ac:dyDescent="0.3">
      <c r="A10" s="1">
        <v>4.7</v>
      </c>
      <c r="B10" s="1">
        <v>24.59</v>
      </c>
      <c r="C10" s="1">
        <v>24.59</v>
      </c>
      <c r="D10" s="1">
        <f t="shared" si="0"/>
        <v>0</v>
      </c>
      <c r="E10" s="1">
        <f t="shared" si="1"/>
        <v>0</v>
      </c>
    </row>
    <row r="11" spans="1:12" x14ac:dyDescent="0.3">
      <c r="A11" s="1">
        <v>5</v>
      </c>
      <c r="B11" s="1">
        <v>22.25</v>
      </c>
      <c r="C11" s="1">
        <v>22.25</v>
      </c>
      <c r="D11" s="1">
        <f t="shared" si="0"/>
        <v>0</v>
      </c>
      <c r="E11" s="1">
        <f t="shared" si="1"/>
        <v>0</v>
      </c>
    </row>
    <row r="12" spans="1:12" x14ac:dyDescent="0.3">
      <c r="A12" s="1">
        <v>5.6</v>
      </c>
      <c r="B12" s="1">
        <v>25.9</v>
      </c>
      <c r="C12" s="1">
        <f>(B12+B13+B14)/3</f>
        <v>26.236666666666665</v>
      </c>
      <c r="D12" s="1">
        <f t="shared" si="0"/>
        <v>0.336666666666666</v>
      </c>
      <c r="E12" s="1">
        <f t="shared" si="1"/>
        <v>0.113344444444444</v>
      </c>
    </row>
    <row r="13" spans="1:12" x14ac:dyDescent="0.3">
      <c r="A13" s="1">
        <v>5.6</v>
      </c>
      <c r="B13" s="1">
        <v>27.2</v>
      </c>
      <c r="C13" s="1">
        <v>26.236666666666665</v>
      </c>
      <c r="D13" s="1">
        <f t="shared" si="0"/>
        <v>-0.96333333333333471</v>
      </c>
      <c r="E13" s="1">
        <f t="shared" si="1"/>
        <v>0.92801111111111378</v>
      </c>
    </row>
    <row r="14" spans="1:12" x14ac:dyDescent="0.3">
      <c r="A14" s="1">
        <v>5.6</v>
      </c>
      <c r="B14" s="1">
        <v>25.61</v>
      </c>
      <c r="C14" s="1">
        <v>26.236666666666665</v>
      </c>
      <c r="D14" s="1">
        <f t="shared" si="0"/>
        <v>0.62666666666666515</v>
      </c>
      <c r="E14" s="1">
        <f t="shared" si="1"/>
        <v>0.39271111111110923</v>
      </c>
    </row>
    <row r="15" spans="1:12" x14ac:dyDescent="0.3">
      <c r="A15" s="1">
        <v>6</v>
      </c>
      <c r="B15" s="1">
        <v>25.45</v>
      </c>
      <c r="C15" s="1">
        <f>(B15+B16)/2</f>
        <v>26.004999999999999</v>
      </c>
      <c r="D15" s="1">
        <f t="shared" si="0"/>
        <v>0.55499999999999972</v>
      </c>
      <c r="E15" s="1">
        <f t="shared" si="1"/>
        <v>0.30802499999999966</v>
      </c>
    </row>
    <row r="16" spans="1:12" x14ac:dyDescent="0.3">
      <c r="A16" s="1">
        <v>6</v>
      </c>
      <c r="B16" s="1">
        <v>26.56</v>
      </c>
      <c r="C16" s="1">
        <v>26.004999999999999</v>
      </c>
      <c r="D16" s="1">
        <f t="shared" si="0"/>
        <v>-0.55499999999999972</v>
      </c>
      <c r="E16" s="1">
        <f t="shared" si="1"/>
        <v>0.30802499999999966</v>
      </c>
    </row>
    <row r="17" spans="1:5" x14ac:dyDescent="0.3">
      <c r="A17" s="1">
        <v>6.5</v>
      </c>
      <c r="B17" s="1">
        <v>21.03</v>
      </c>
      <c r="C17" s="1">
        <f>(B17+B18)/2</f>
        <v>21.245000000000001</v>
      </c>
      <c r="D17" s="1">
        <f t="shared" si="0"/>
        <v>0.21499999999999986</v>
      </c>
      <c r="E17" s="1">
        <f t="shared" si="1"/>
        <v>4.622499999999994E-2</v>
      </c>
    </row>
    <row r="18" spans="1:5" ht="15" thickBot="1" x14ac:dyDescent="0.35">
      <c r="A18" s="4">
        <v>6.9</v>
      </c>
      <c r="B18" s="4">
        <v>21.46</v>
      </c>
      <c r="C18" s="4">
        <v>21.245000000000001</v>
      </c>
      <c r="D18" s="4">
        <f t="shared" si="0"/>
        <v>-0.21499999999999986</v>
      </c>
      <c r="E18" s="4">
        <f t="shared" si="1"/>
        <v>4.622499999999994E-2</v>
      </c>
    </row>
    <row r="19" spans="1:5" ht="15" thickBot="1" x14ac:dyDescent="0.35">
      <c r="A19" s="5" t="s">
        <v>5</v>
      </c>
      <c r="B19" s="6"/>
      <c r="C19" s="6"/>
      <c r="D19" s="6"/>
      <c r="E19" s="7">
        <f>SUM(E2:E18)</f>
        <v>15.655483333333345</v>
      </c>
    </row>
    <row r="20" spans="1:5" ht="15" thickBot="1" x14ac:dyDescent="0.35">
      <c r="A20" s="12" t="s">
        <v>12</v>
      </c>
      <c r="B20" s="13"/>
      <c r="C20" s="13"/>
      <c r="D20" s="13"/>
      <c r="E20" s="14">
        <f>250.13383-E19</f>
        <v>234.47834666666665</v>
      </c>
    </row>
    <row r="21" spans="1:5" x14ac:dyDescent="0.3">
      <c r="A21" s="20" t="s">
        <v>13</v>
      </c>
      <c r="B21" s="21"/>
      <c r="C21" s="21"/>
      <c r="D21" s="21"/>
      <c r="E21" s="22">
        <f>E20/8</f>
        <v>29.309793333333332</v>
      </c>
    </row>
    <row r="22" spans="1:5" x14ac:dyDescent="0.3">
      <c r="A22" s="15" t="s">
        <v>14</v>
      </c>
      <c r="B22" s="2"/>
      <c r="C22" s="2"/>
      <c r="D22" s="2"/>
      <c r="E22" s="16">
        <f>E19/7</f>
        <v>2.2364976190476207</v>
      </c>
    </row>
    <row r="23" spans="1:5" x14ac:dyDescent="0.3">
      <c r="A23" s="15" t="s">
        <v>15</v>
      </c>
      <c r="B23" s="2"/>
      <c r="C23" s="2"/>
      <c r="D23" s="2"/>
      <c r="E23" s="16">
        <f>E21/E22</f>
        <v>13.105220002789215</v>
      </c>
    </row>
    <row r="24" spans="1:5" ht="15" thickBot="1" x14ac:dyDescent="0.35">
      <c r="A24" s="17" t="s">
        <v>16</v>
      </c>
      <c r="B24" s="18"/>
      <c r="C24" s="18"/>
      <c r="D24" s="18"/>
      <c r="E24" s="19"/>
    </row>
  </sheetData>
  <mergeCells count="6">
    <mergeCell ref="A19:D19"/>
    <mergeCell ref="A20:D20"/>
    <mergeCell ref="A21:D21"/>
    <mergeCell ref="A22:D22"/>
    <mergeCell ref="A23:D23"/>
    <mergeCell ref="A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TODO</dc:creator>
  <cp:lastModifiedBy>abhishek singh</cp:lastModifiedBy>
  <dcterms:created xsi:type="dcterms:W3CDTF">2015-06-05T18:17:20Z</dcterms:created>
  <dcterms:modified xsi:type="dcterms:W3CDTF">2024-12-17T00:26:14Z</dcterms:modified>
</cp:coreProperties>
</file>